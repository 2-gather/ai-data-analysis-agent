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0108\Desktop\ai-data-analysis-agent\"/>
    </mc:Choice>
  </mc:AlternateContent>
  <xr:revisionPtr revIDLastSave="0" documentId="13_ncr:1_{30879F53-EBEC-497C-83AF-184CF439DFB0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测试用例" sheetId="1" r:id="rId1"/>
    <sheet name="测试执行记录" sheetId="2" r:id="rId2"/>
    <sheet name="测试结果汇总" sheetId="3" r:id="rId3"/>
  </sheets>
  <definedNames>
    <definedName name="_xlnm._FilterDatabase" localSheetId="2" hidden="1">测试结果汇总!$A$1:$B$13</definedName>
    <definedName name="_xlnm._FilterDatabase" localSheetId="0" hidden="1">测试用例!$A$1:$H$27</definedName>
    <definedName name="_xlnm._FilterDatabase" localSheetId="1" hidden="1">测试执行记录!$A$1:$J$26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3" l="1"/>
  <c r="B6" i="3"/>
  <c r="B7" i="3"/>
  <c r="B5" i="3"/>
  <c r="B4" i="3"/>
  <c r="B8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7" authorId="0" shapeId="0" xr:uid="{00000000-0006-0000-0200-000001000000}">
      <text>
        <r>
          <rPr>
            <sz val="11"/>
            <color theme="1"/>
            <rFont val="宋体"/>
            <family val="2"/>
            <scheme val="minor"/>
          </rPr>
          <t>通过用例数 / 已执行用例数。尚无已执行用例时显示 0%。</t>
        </r>
      </text>
    </comment>
  </commentList>
</comments>
</file>

<file path=xl/sharedStrings.xml><?xml version="1.0" encoding="utf-8"?>
<sst xmlns="http://schemas.openxmlformats.org/spreadsheetml/2006/main" count="459" uniqueCount="243">
  <si>
    <t>用例编号</t>
  </si>
  <si>
    <t>测试类别</t>
  </si>
  <si>
    <t>测试场景</t>
  </si>
  <si>
    <t>测试输入/操作</t>
  </si>
  <si>
    <t>预期结果</t>
  </si>
  <si>
    <t>通过判定标准</t>
  </si>
  <si>
    <t>优先级</t>
  </si>
  <si>
    <t>执行状态</t>
  </si>
  <si>
    <t>TC-01</t>
  </si>
  <si>
    <t>文件读取</t>
  </si>
  <si>
    <t>上传正常的 CSV 文件</t>
  </si>
  <si>
    <t>上传一个可正常读取的 CSV 文件</t>
  </si>
  <si>
    <t>文件成功读取并展示数据</t>
  </si>
  <si>
    <t>展示内容与源文件一致</t>
  </si>
  <si>
    <t>P1</t>
  </si>
  <si>
    <t>待测试</t>
  </si>
  <si>
    <t>TC-02</t>
  </si>
  <si>
    <t>上传正常的 Excel 文件</t>
  </si>
  <si>
    <t>上传销售数据 Excel 文件</t>
  </si>
  <si>
    <t>读取成功，工作表选择符合程序实现</t>
  </si>
  <si>
    <t>TC-03</t>
  </si>
  <si>
    <t>数据概览</t>
  </si>
  <si>
    <t>查看数据概览</t>
  </si>
  <si>
    <t>上传有效数据后查看概览</t>
  </si>
  <si>
    <t>展示行数、列数、字段名称等</t>
  </si>
  <si>
    <t>行列数及字段名与源文件一致</t>
  </si>
  <si>
    <t>TC-04</t>
  </si>
  <si>
    <t>数据质量</t>
  </si>
  <si>
    <t>检查缺失值</t>
  </si>
  <si>
    <t>查看含缺失值数据的概览</t>
  </si>
  <si>
    <t>识别缺失值字段及数量</t>
  </si>
  <si>
    <t>与独立计算结果一致</t>
  </si>
  <si>
    <t>TC-05</t>
  </si>
  <si>
    <t>检查重复记录</t>
  </si>
  <si>
    <t>查看含重复记录数据的概览</t>
  </si>
  <si>
    <t>按系统当前规则识别重复记录</t>
  </si>
  <si>
    <t>与预先定义的重复判断口径一致</t>
  </si>
  <si>
    <t>P2</t>
  </si>
  <si>
    <t>TC-06</t>
  </si>
  <si>
    <t>基础统计</t>
  </si>
  <si>
    <t>销售额总和是多少？</t>
  </si>
  <si>
    <t>询问：销售额总和是多少？</t>
  </si>
  <si>
    <t>返回销售额总和</t>
  </si>
  <si>
    <t>与独立计算结果一致，字段无误</t>
  </si>
  <si>
    <t>TC-07</t>
  </si>
  <si>
    <t>平均销量是多少？</t>
  </si>
  <si>
    <t>询问：平均销量是多少？</t>
  </si>
  <si>
    <t>返回销量平均值</t>
  </si>
  <si>
    <t>与独立计算结果一致，缺失值口径一致</t>
  </si>
  <si>
    <t>TC-08</t>
  </si>
  <si>
    <t>销售额最大值和最小值分别是多少？</t>
  </si>
  <si>
    <t>询问：销售额的最大值和最小值分别是多少？</t>
  </si>
  <si>
    <t>返回最大值和最小值</t>
  </si>
  <si>
    <t>数值与独立计算结果一致</t>
  </si>
  <si>
    <t>TC-09</t>
  </si>
  <si>
    <t>帮我统计一下销量</t>
  </si>
  <si>
    <t>询问：帮我统计一下销量</t>
  </si>
  <si>
    <t>返回程序支持的销量统计信息</t>
  </si>
  <si>
    <t>仅输出实际支持的指标，不编造</t>
  </si>
  <si>
    <t>TC-10</t>
  </si>
  <si>
    <t>分组聚合</t>
  </si>
  <si>
    <t>各地区销售额分别是多少？</t>
  </si>
  <si>
    <t>询问：各地区销售额分别是多少？</t>
  </si>
  <si>
    <t>按地区分组，对销售额求和</t>
  </si>
  <si>
    <t>分组字段、聚合方式、结果均正确</t>
  </si>
  <si>
    <t>TC-11</t>
  </si>
  <si>
    <t>各产品销量分别是多少？</t>
  </si>
  <si>
    <t>询问：各产品销量分别是多少？</t>
  </si>
  <si>
    <t>按产品分组，对销量求和</t>
  </si>
  <si>
    <t>字段和聚合方式正确，结果与独立计算一致</t>
  </si>
  <si>
    <t>TC-12</t>
  </si>
  <si>
    <t>各品类平均销售额是多少？</t>
  </si>
  <si>
    <t>询问：各品类平均销售额是多少？</t>
  </si>
  <si>
    <t>按品类分组，对销售额求平均</t>
  </si>
  <si>
    <t>聚合方式为平均值，结果正确</t>
  </si>
  <si>
    <t>TC-13</t>
  </si>
  <si>
    <t>哪个地区销售额最低？</t>
  </si>
  <si>
    <t>询问：哪个地区的销售额最低？</t>
  </si>
  <si>
    <t>先汇总各地区销售额，再识别最低地区</t>
  </si>
  <si>
    <t>先分组求和再比较，地区和数值正确</t>
  </si>
  <si>
    <t>TC-14</t>
  </si>
  <si>
    <t>排名分析</t>
  </si>
  <si>
    <t>按销售额从高到低排列各地区</t>
  </si>
  <si>
    <t>询问：按销售额从高到低排列各地区</t>
  </si>
  <si>
    <t>按地区销售额总和降序排列</t>
  </si>
  <si>
    <t>排序方向正确，统计口径一致</t>
  </si>
  <si>
    <t>TC-15</t>
  </si>
  <si>
    <t>哪个产品销量最高？</t>
  </si>
  <si>
    <t>询问：哪个产品销量最高？</t>
  </si>
  <si>
    <t>基于各产品销量汇总识别最高者</t>
  </si>
  <si>
    <t>排名指标、分组字段及结果正确</t>
  </si>
  <si>
    <t>TC-16</t>
  </si>
  <si>
    <t>按销售额从低到高排列各地区</t>
  </si>
  <si>
    <t>询问：按销售额从低到高排列各地区</t>
  </si>
  <si>
    <t>按地区销售额总和升序排列</t>
  </si>
  <si>
    <t>排序方向正确，结果与独立计算一致</t>
  </si>
  <si>
    <t>TC-17</t>
  </si>
  <si>
    <t>工具调用</t>
  </si>
  <si>
    <t>数据里有哪些字段？</t>
  </si>
  <si>
    <t>询问：数据里有哪些字段？</t>
  </si>
  <si>
    <t>基于数据概览回答真实字段</t>
  </si>
  <si>
    <t>不虚构字段，字段名与文件一致</t>
  </si>
  <si>
    <t>TC-18</t>
  </si>
  <si>
    <t>统计销售额总和</t>
  </si>
  <si>
    <t>调用适用统计工具并传入真实字段名</t>
  </si>
  <si>
    <t>工具选择正确、参数正确、结果正确</t>
  </si>
  <si>
    <t>TC-19</t>
  </si>
  <si>
    <t>分组聚合工具调用</t>
  </si>
  <si>
    <t>调用分组聚合工具，地区分组、销售额求和</t>
  </si>
  <si>
    <t>工具与参数正确，完成实际聚合计算</t>
  </si>
  <si>
    <t>TC-20</t>
  </si>
  <si>
    <t>最低值问题完整分析链路</t>
  </si>
  <si>
    <t>询问：哪个地区销售额最低？</t>
  </si>
  <si>
    <t>完成分组汇总和最低值判断</t>
  </si>
  <si>
    <t>工具、参数、汇总值及结论均正确</t>
  </si>
  <si>
    <t>TC-21</t>
  </si>
  <si>
    <t>排名工具调用</t>
  </si>
  <si>
    <t>询问：销量最高的产品是什么？</t>
  </si>
  <si>
    <t>调用排名工具或当前实现中的等效逻辑</t>
  </si>
  <si>
    <t>调用路径可追溯，指标和排序方向正确</t>
  </si>
  <si>
    <t>TC-22</t>
  </si>
  <si>
    <t>异常处理</t>
  </si>
  <si>
    <t>上传空文件</t>
  </si>
  <si>
    <t>上传空 CSV 或空 Excel</t>
  </si>
  <si>
    <t>给出清晰错误提示，不产生虚假结果</t>
  </si>
  <si>
    <t>异常被处理，无编造数据</t>
  </si>
  <si>
    <t>TC-23</t>
  </si>
  <si>
    <t>所需字段不存在</t>
  </si>
  <si>
    <t>使用不含“地区”字段的数据，询问各地区销售额</t>
  </si>
  <si>
    <t>提示缺少必要字段或无法完成分析</t>
  </si>
  <si>
    <t>不虚构字段或结果，说明明确</t>
  </si>
  <si>
    <t>未上传数据就提问</t>
  </si>
  <si>
    <t>未上传文件，直接发起分析问题</t>
  </si>
  <si>
    <t>提示需要先上传数据</t>
  </si>
  <si>
    <t>不输出虚构计算结果</t>
  </si>
  <si>
    <t>TC-25</t>
  </si>
  <si>
    <t>上传不支持的格式</t>
  </si>
  <si>
    <t>上传程序不支持的文件格式</t>
  </si>
  <si>
    <t>提示格式不支持或读取失败</t>
  </si>
  <si>
    <t>有明确异常反馈，程序状态可恢复</t>
  </si>
  <si>
    <t>TC-26</t>
  </si>
  <si>
    <t>对含缺失值字段进行统计</t>
  </si>
  <si>
    <t>询问销售额总和，数据中存在销售额缺失值</t>
  </si>
  <si>
    <t>按当前缺失值规则计算，必要时说明口径</t>
  </si>
  <si>
    <t>与相同处理规则下的独立计算一致</t>
  </si>
  <si>
    <t>使用说明</t>
  </si>
  <si>
    <t>预期结果为测试目标，不代表已经验证。请先独立计算标准答案，再运行 Agent 并记录真实结果。</t>
  </si>
  <si>
    <t>实际输出</t>
  </si>
  <si>
    <t>实际工具调用</t>
  </si>
  <si>
    <t>实际工具参数</t>
  </si>
  <si>
    <t>是否通过</t>
  </si>
  <si>
    <t>失败原因</t>
  </si>
  <si>
    <t>测试日期</t>
  </si>
  <si>
    <t>备注</t>
  </si>
  <si>
    <t>汇总项</t>
  </si>
  <si>
    <t>内容/数值</t>
  </si>
  <si>
    <t>测试用例总数</t>
  </si>
  <si>
    <t>已执行用例数</t>
  </si>
  <si>
    <t>通过用例数</t>
  </si>
  <si>
    <t>未执行用例数</t>
  </si>
  <si>
    <t>已执行用例通过率</t>
  </si>
  <si>
    <t>结果正确率</t>
  </si>
  <si>
    <t>工具调用成功率</t>
  </si>
  <si>
    <t>异常用例通过率</t>
  </si>
  <si>
    <t>主要问题</t>
  </si>
  <si>
    <t>已完成</t>
  </si>
  <si>
    <t>通过</t>
  </si>
  <si>
    <t>None</t>
    <phoneticPr fontId="5" type="noConversion"/>
  </si>
  <si>
    <t>输出按总体、品类、地区、产品、日期的销量</t>
    <phoneticPr fontId="5" type="noConversion"/>
  </si>
  <si>
    <t>get_data_summary,calculate_column_statistics,summarize_by_group</t>
    <phoneticPr fontId="5" type="noConversion"/>
  </si>
  <si>
    <t>{"行数": 46, "字段": [{"名称": "日期", "类型": "datetime64[us]"}, {"名称": "地区", "类型": "str"}, {"名称": "产品", "类型": "str"}, {"名称": "品类", "类型": "str"}, {"名称": "销量", "类型": "int64"}, {"名称": "销售额", "类型": "int64"}, {"名称": "成本", "类型": "float64"}], "缺失值": {"成本": 1}}</t>
    <phoneticPr fontId="5" type="noConversion"/>
  </si>
  <si>
    <t>华东地区销售额最高（25,750），华北次之（21,540），华南最低（21,150）。三地区差距不大，华东比华南高约 21.7%。</t>
    <phoneticPr fontId="5" type="noConversion"/>
  </si>
  <si>
    <t>get_data_summary,summarize_by_group</t>
    <phoneticPr fontId="5" type="noConversion"/>
  </si>
  <si>
    <t>[{"地区":"华东","销售额":25750},{"地区":"华北","销售额":21540},{"地区":"华南","销售额":21150}]</t>
    <phoneticPr fontId="5" type="noConversion"/>
  </si>
  <si>
    <t>产品	销量
C款	398
A款	392
B款	346
合计	1136</t>
    <phoneticPr fontId="5" type="noConversion"/>
  </si>
  <si>
    <t>[{"产品":"C款","销量":398},{"产品":"A款","销量":392},{"产品":"B款","销量":346}]</t>
    <phoneticPr fontId="5" type="noConversion"/>
  </si>
  <si>
    <t>[{"产品":"C款","销量":398},{"产品":"A款","销量":392},{"产品":"B款","销量":346}] {"字段": "销量", "有效数据量": 46, "总和": 1136.0, "平均值": 24.695652173913043, "中位数": 25.5, "最小值": 10.0, "最大值": 36.0}</t>
    <phoneticPr fontId="5" type="noConversion"/>
  </si>
  <si>
    <t xml:space="preserve">get_data_summary,summarize_by_group
</t>
    <phoneticPr fontId="5" type="noConversion"/>
  </si>
  <si>
    <t>品类	平均销售额
电子产品	2305.88
家居用品	1153.33
办公用品	852.86
结论：电子产品平均销售额最高（约 2305.88），约为家居用品的 2 倍、办公用品的 2.7 倍；办公用品最低（约 852.86）。</t>
    <phoneticPr fontId="5" type="noConversion"/>
  </si>
  <si>
    <t>按销售额从高到低排列各地区</t>
    <phoneticPr fontId="5" type="noConversion"/>
  </si>
  <si>
    <t>排名	地区	销售额合计
1	华东	25,750
2	华北	21,540
3	华南	21,150
结论：华东销售额最高（25,750），华北次之（21,540），华南最低（21,150）。华北与华南差距较小，仅相差 390。</t>
    <phoneticPr fontId="5" type="noConversion"/>
  </si>
  <si>
    <t>get_data_summary,summarize_by_group,rank_by_category</t>
    <phoneticPr fontId="5" type="noConversion"/>
  </si>
  <si>
    <t>排名	地区	总销量
1	华东	424
2	华北	358
3	华南	354
关键说明：
华东地区以 424 的总销量位居第一，比第二名华北（358）高约 18.4%，比第三名华南（354）高约 19.8%。</t>
    <phoneticPr fontId="5" type="noConversion"/>
  </si>
  <si>
    <t>{"字段": "销量", "有效数据量": 46, "总和": 1136.0, "平均值": 24.695652173913043, "中位数": 25.5, "最小值": 10.0, "最大值": 36.0}</t>
    <phoneticPr fontId="5" type="noConversion"/>
  </si>
  <si>
    <t>{"字段": "销量", "有效数据量": 46, "总和": 1136.0, "平均值": 24.695652173913043, "中位数": 25.5, "最小值": 10.0, "最大值": 36.1}</t>
  </si>
  <si>
    <t>{"字段": "销量", "有效数据量": 46, "总和": 1136.0, "平均值": 24.695652173913043, "中位数": 25.5, "最小值": 10.0, "最大值": 36.2}</t>
  </si>
  <si>
    <t>按销售额从低到高排列各地区</t>
    <phoneticPr fontId="5" type="noConversion"/>
  </si>
  <si>
    <t>排名	地区	销售额合计
1	华南	21,150
2	华北	21,540
3	华东	25,750
结论：华南销售额最低（21,150），华北次之（21,540），华东最高（25,750）。华南与华北差距较小（相差 390），华东明显高于前两者。</t>
    <phoneticPr fontId="5" type="noConversion"/>
  </si>
  <si>
    <t>summarize_by_group</t>
    <phoneticPr fontId="5" type="noConversion"/>
  </si>
  <si>
    <t>[{"地区":"华南","销售额":21150},{"地区":"华北","销售额":21540},{"地区":"华东","销售额":25750}]</t>
    <phoneticPr fontId="5" type="noConversion"/>
  </si>
  <si>
    <t>summarize_by_group内置ascending，只调用一个工具也可正确返回结果</t>
    <phoneticPr fontId="5" type="noConversion"/>
  </si>
  <si>
    <t>get_data_summary</t>
    <phoneticPr fontId="5" type="noConversion"/>
  </si>
  <si>
    <t>字段名称	数据类型	是否含缺失值
日期	datetime64[us]	否
地区	str	否
产品	str	否
品类	str	否
销量	int64	否
销售额	int64	否
成本	float64	是（1 个缺失）
总体说明：数据集包含日期、地区、产品、品类 4 个维度字段，以及销量、销售额、成本 3 个数值字段；仅“成本”字段存在 1 个缺失值，其余字段完整。</t>
    <phoneticPr fontId="5" type="noConversion"/>
  </si>
  <si>
    <t>销售额总和：68,440</t>
    <phoneticPr fontId="5" type="noConversion"/>
  </si>
  <si>
    <t>get_data_summary,calculate_column_statistics</t>
    <phoneticPr fontId="5" type="noConversion"/>
  </si>
  <si>
    <t>{"字段": "销售额", "有效数据量": 46, "总和": 68440.0, "平均值": 1487.8260869565217, "中位数": 1175.0, "最小值": 600.0, "最大值": 3500.0}</t>
  </si>
  <si>
    <t>分组聚合工具调用</t>
    <phoneticPr fontId="5" type="noConversion"/>
  </si>
  <si>
    <t>输出按品类、地区、产品的分类聚合结果，但未输出按日期、地区+品类结果</t>
    <phoneticPr fontId="5" type="noConversion"/>
  </si>
  <si>
    <t>结果返回不完整，未输出按日期、地区+品类结果</t>
    <phoneticPr fontId="5" type="noConversion"/>
  </si>
  <si>
    <t>计划中的分析步骤未全部执行</t>
    <phoneticPr fontId="5" type="noConversion"/>
  </si>
  <si>
    <t>输出按地区、产品、品类、销量、销售额、成本的最低值，时间维度分析未完成</t>
    <phoneticPr fontId="5" type="noConversion"/>
  </si>
  <si>
    <t>工具结果未返回最低值对应的具体日期和完整记录明细，时间维度分析无法完成。
数据无价格、促销、库存、渠道等字段，无法解释最低值的业务成因，只能描述分布与关联特征。
样本仅 46 行，结论稳定性有限。</t>
    <phoneticPr fontId="5" type="noConversion"/>
  </si>
  <si>
    <t>16 次左右的分组工具调用记录只能证明工具被调用多次，不能证明每个维度、指标都正确执行。</t>
    <phoneticPr fontId="5" type="noConversion"/>
  </si>
  <si>
    <t>输出按产品、地区、品类的销售额与销量排名</t>
    <phoneticPr fontId="5" type="noConversion"/>
  </si>
  <si>
    <t>get_data_summary,rank_by_category</t>
    <phoneticPr fontId="5" type="noConversion"/>
  </si>
  <si>
    <t>[{"产品":"A款","销售额":39200},{"产品":"B款","销售额":17300},{"产品":"C款","销售额":11940}]
工具：rank_by_category
[{"产品":"C款","销量":398},{"产品":"A款","销量":392},{"产品":"B款","销量":346}]
工具：rank_by_category
[{"地区":"华东","销售额":25750},{"地区":"华北","销售额":21540},{"地区":"华南","销售额":21150}]
[{"地区":"华东","销量":424},{"地区":"华北","销量":358},{"地区":"华南","销量":354}]
[{"品类":"电子产品","销售额":39200},{"品类":"家居用品","销售额":17300},{"品类":"办公用品","销售额":11940}]
[{"品类":"办公用品","销量":398},{"品类":"电子产品","销量":392},{"品类":"家居用品","销量":346}]</t>
    <phoneticPr fontId="5" type="noConversion"/>
  </si>
  <si>
    <t>文件读取失败：当前文件没有可分析的数据。</t>
    <phoneticPr fontId="5" type="noConversion"/>
  </si>
  <si>
    <t>TC-24</t>
    <phoneticPr fontId="5" type="noConversion"/>
  </si>
  <si>
    <t>TC-25</t>
    <phoneticPr fontId="5" type="noConversion"/>
  </si>
  <si>
    <t>输出结论：无法回答。数据中不存在所需字段，无法统计。</t>
    <phoneticPr fontId="5" type="noConversion"/>
  </si>
  <si>
    <t>文件成功读取</t>
    <phoneticPr fontId="5" type="noConversion"/>
  </si>
  <si>
    <t>返回行数、列数、字段类型等概览</t>
    <phoneticPr fontId="5" type="noConversion"/>
  </si>
  <si>
    <t>返回缺失值统计结果</t>
    <phoneticPr fontId="5" type="noConversion"/>
  </si>
  <si>
    <t>返回重复记录检查结果</t>
    <phoneticPr fontId="5" type="noConversion"/>
  </si>
  <si>
    <t>N/A</t>
    <phoneticPr fontId="5" type="noConversion"/>
  </si>
  <si>
    <t>非Agent功能，由程序直接处理</t>
    <phoneticPr fontId="5" type="noConversion"/>
  </si>
  <si>
    <t>销售额总和为 68,440.0</t>
    <phoneticPr fontId="5" type="noConversion"/>
  </si>
  <si>
    <t>calculate_column_statistics</t>
    <phoneticPr fontId="5" type="noConversion"/>
  </si>
  <si>
    <t>{"字段": "销售额", "有效数据量": 46, "总和": 68440.0, "平均值": 1487.8260869565217, "中位数": 1175.0, "最小值": 600.0, "最大值": 3500.0}</t>
    <phoneticPr fontId="5" type="noConversion"/>
  </si>
  <si>
    <t>平均销量为 24.70（按 46 条有效数据计算，总和 1136）。
中位数：25.5，最小值：10，最大值：36</t>
    <phoneticPr fontId="5" type="noConversion"/>
  </si>
  <si>
    <t>销售额最大值和最小值如下：
最大值：3500
最小值：600</t>
    <phoneticPr fontId="5" type="noConversion"/>
  </si>
  <si>
    <t>get_data_summary，calculate_column_statistics</t>
    <phoneticPr fontId="5" type="noConversion"/>
  </si>
  <si>
    <t>{"行数": 46, "字段": [{"名称": "日期", "类型": "datetime64[us]"}, {"名称": "地区", "类型": "str"}, {"名称": "产品", "类型": "str"}, {"名称": "品类", "类型": "str"}, {"名称": "销量", "类型": "int64"}, {"名称": "销售额", "类型": "int64"}, {"名称": "成本", "类型": "float64"}], "缺失值": {"成本": 1}}{"字段": "销售额", "有效数据量": 46, "总和": 68440.0, "平均值": 1487.8260869565217, "中位数": 1175.0, "最小值": 600.0, "最大值": 3500.0}</t>
    <phoneticPr fontId="5" type="noConversion"/>
  </si>
  <si>
    <t>未通过</t>
  </si>
  <si>
    <t>未通过用例数</t>
    <phoneticPr fontId="5" type="noConversion"/>
  </si>
  <si>
    <t>整体算术平均成本 85.73（45 条有效样本）；若按总成本/总销量计，单位成本约 3.40。</t>
    <phoneticPr fontId="5" type="noConversion"/>
  </si>
  <si>
    <t>get_data_summary,calculate_column_statistics,calculate_column_statistics,summarize_by_group,summarize_by_group</t>
    <phoneticPr fontId="5" type="noConversion"/>
  </si>
  <si>
    <t>{"行数": 46, "字段": [{"名称": "日期", "类型": "datetime64[us]"}, {"名称": "地区", "类型": "str"}, {"名称": "产品", "类型": "str"}, {"名称": "品类", "类型": "str"}, {"名称": "销量", "类型": "int64"}, {"名称": "销售额", "类型": "int64"}, {"名称": "成本", "类型": "float64"}], "缺失值": {"成本": 1}}{"字段": "成本", "有效数据量": 45, "总和": 3858.0, "平均值": 85.73333333333333, "中位数": 63.0, "最小值": 30.0, "最大值": 215.0}{"字段": "销量", "有效数据量": 46, "总和": 1136.0, "平均值": 24.695652173913043, "中位数": 25.5, "最小值": 10.0, "最大值": 36.0}[{"地区":"华东","成本":88.8823529412},{"地区":"华北","成本":87.1538461538},{"地区":"华南","成本":80.9333333333}][{"品类":"电子产品","成本":143.3125},{"品类":"家居用品","成本":60.0},{"品类":"办公用品","成本":47.5}]</t>
    <phoneticPr fontId="5" type="noConversion"/>
  </si>
  <si>
    <t>P1</t>
    <phoneticPr fontId="5" type="noConversion"/>
  </si>
  <si>
    <t>待测试</t>
    <phoneticPr fontId="5" type="noConversion"/>
  </si>
  <si>
    <t>分析维度与用户问题不一致，返回地区排名而非产品排名</t>
    <phoneticPr fontId="5" type="noConversion"/>
  </si>
  <si>
    <t>需检查 Agent 的问题理解、工具参数和最终结果整合</t>
    <phoneticPr fontId="5" type="noConversion"/>
  </si>
  <si>
    <t>Agent非必要，可通过数据概览查看</t>
    <phoneticPr fontId="5" type="noConversion"/>
  </si>
  <si>
    <t>地区	销售额
华南	21,150
华北	21,540
华东	25,750
关键结论:华南销售额最低，为 21,150，比华北（21,540）低 390，比华东（25,750）低 4,600。
华南与华北差距很小（约 1.8%），两者接近；华东明显高于其他两区。</t>
    <phoneticPr fontId="5" type="noConversion"/>
  </si>
  <si>
    <t>不适用</t>
  </si>
  <si>
    <t>程序设计限制除xlsx、csv以外的输入,尚未验证后端格式错误提示</t>
    <phoneticPr fontId="5" type="noConversion"/>
  </si>
  <si>
    <t>其他格式文件在选择窗口中不可选，无法继续上传验证。</t>
    <phoneticPr fontId="5" type="noConversion"/>
  </si>
  <si>
    <t>正确处理缺失值、未明确说明指标口径</t>
    <phoneticPr fontId="5" type="noConversion"/>
  </si>
  <si>
    <t>14/17=82.35% (统计结果与标准答案一致的用例比例；统计范围：仅统计具有明确预期结果且已完成核验的用例；功能测试、异常处理测试单独统计。)</t>
    <phoneticPr fontId="5" type="noConversion"/>
  </si>
  <si>
    <t>15/18=83.33%(需要调用工具的用例中，工具与参数均符合预期的比例。)</t>
    <phoneticPr fontId="5" type="noConversion"/>
  </si>
  <si>
    <t>2/2=100%(异常处理类用例中，处理方式符合预期的比例。)</t>
    <phoneticPr fontId="5" type="noConversion"/>
  </si>
  <si>
    <t>1. 本测试集用于验证 AI 数据分析 Agent V1.0 的文件读取、数据概览、统计分析、分组聚合、排名及异常处理能力。
2. 测试前请使用指定测试数据，按照各测试用例中的输入执行操作，并对照预期结果进行核验。
3. 测试执行后，应在“测试执行记录”中如实填写实际输出、实际工具调用、实际工具参数、测试判定、失败原因及备注。未发生工具调用时填写 `None`；不适用的项目填写 `N/A`；未记录的实际参数不得根据最终答案推测补写。
4. 测试结果分为通过、未通过、部分通过及待测试。测试已执行但结果不符合预期时，应记录实际问题，不得仅因 Agent 返回了答案就判定通过。
5. 测试结果汇总中的通过率、结果正确率、工具调用成功率及异常用例通过率，应根据实际执行记录和明确的统计口径计算。尚未执行或核验的用例不得计入已验证结果。
6. 本测试集的结果仅反映当前测试数据、测试场景及 Agent V1.0 的表现，不代表产品在所有数据集和业务场景下的实际效果。</t>
    <phoneticPr fontId="5" type="noConversion"/>
  </si>
  <si>
    <t>1.复杂分析任务执行不完整：部分测试中，Agent 虽然生成了分析计划，但未完整返回计划要求的结果，例如多维分组、时间趋势及最低值对应的完整记录。
2.问题理解与分析维度不一致：个别测试中，用户询问产品维度，Agent 却返回地区维度的排名，导致结果与问题不匹配。
3.工具调用与结果记录需进一步核验：部分测试记录中的工具参数与测试问题不完全对应，需结合实际调用日志核对工具选择、参数传递及结果正确性。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</si>
</sst>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6">
    <font>
      <sz val="11"/>
      <color theme="1"/>
      <name val="宋体"/>
      <family val="2"/>
      <scheme val="minor"/>
    </font>
    <font>
      <b/>
      <sz val="11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b/>
      <sz val="13"/>
      <color rgb="FF1F1F1F"/>
      <name val="Microsoft YaHei"/>
      <family val="2"/>
      <charset val="134"/>
    </font>
    <font>
      <b/>
      <sz val="11"/>
      <color rgb="FF1F4E78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4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176" fontId="2" fillId="0" borderId="2" xfId="0" applyNumberFormat="1" applyFont="1" applyBorder="1" applyAlignment="1">
      <alignment horizontal="left" vertical="top" wrapText="1"/>
    </xf>
    <xf numFmtId="10" fontId="2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常规" xfId="0" builtinId="0"/>
  </cellStyles>
  <dxfs count="2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showGridLines="0" tabSelected="1" workbookViewId="0">
      <pane ySplit="1" topLeftCell="A20" activePane="bottomLeft" state="frozen"/>
      <selection pane="bottomLeft" activeCell="C31" sqref="C31"/>
    </sheetView>
  </sheetViews>
  <sheetFormatPr defaultRowHeight="14"/>
  <cols>
    <col min="1" max="1" width="12" customWidth="1"/>
    <col min="2" max="2" width="14" customWidth="1"/>
    <col min="3" max="3" width="30" customWidth="1"/>
    <col min="4" max="4" width="40" customWidth="1"/>
    <col min="5" max="5" width="38" customWidth="1"/>
    <col min="6" max="6" width="48" customWidth="1"/>
    <col min="7" max="7" width="10" customWidth="1"/>
    <col min="8" max="8" width="12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2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228</v>
      </c>
      <c r="H2" s="2" t="s">
        <v>229</v>
      </c>
    </row>
    <row r="3" spans="1:8" ht="42" customHeight="1">
      <c r="A3" s="2" t="s">
        <v>16</v>
      </c>
      <c r="B3" s="2" t="s">
        <v>9</v>
      </c>
      <c r="C3" s="2" t="s">
        <v>17</v>
      </c>
      <c r="D3" s="2" t="s">
        <v>18</v>
      </c>
      <c r="E3" s="2" t="s">
        <v>12</v>
      </c>
      <c r="F3" s="2" t="s">
        <v>19</v>
      </c>
      <c r="G3" s="2" t="s">
        <v>14</v>
      </c>
      <c r="H3" s="2" t="s">
        <v>15</v>
      </c>
    </row>
    <row r="4" spans="1:8" ht="42" customHeight="1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14</v>
      </c>
      <c r="H4" s="2" t="s">
        <v>15</v>
      </c>
    </row>
    <row r="5" spans="1:8" ht="42" customHeight="1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14</v>
      </c>
      <c r="H5" s="2" t="s">
        <v>15</v>
      </c>
    </row>
    <row r="6" spans="1:8" ht="42" customHeight="1">
      <c r="A6" s="2" t="s">
        <v>32</v>
      </c>
      <c r="B6" s="2" t="s">
        <v>27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15</v>
      </c>
    </row>
    <row r="7" spans="1:8" ht="42" customHeight="1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14</v>
      </c>
      <c r="H7" s="2" t="s">
        <v>15</v>
      </c>
    </row>
    <row r="8" spans="1:8" ht="42" customHeight="1">
      <c r="A8" s="2" t="s">
        <v>44</v>
      </c>
      <c r="B8" s="2" t="s">
        <v>39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14</v>
      </c>
      <c r="H8" s="2" t="s">
        <v>15</v>
      </c>
    </row>
    <row r="9" spans="1:8" ht="42" customHeight="1">
      <c r="A9" s="2" t="s">
        <v>49</v>
      </c>
      <c r="B9" s="2" t="s">
        <v>39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37</v>
      </c>
      <c r="H9" s="2" t="s">
        <v>15</v>
      </c>
    </row>
    <row r="10" spans="1:8" ht="42" customHeight="1">
      <c r="A10" s="2" t="s">
        <v>54</v>
      </c>
      <c r="B10" s="2" t="s">
        <v>39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37</v>
      </c>
      <c r="H10" s="2" t="s">
        <v>15</v>
      </c>
    </row>
    <row r="11" spans="1:8" ht="42" customHeight="1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14</v>
      </c>
      <c r="H11" s="2" t="s">
        <v>15</v>
      </c>
    </row>
    <row r="12" spans="1:8" ht="42" customHeight="1">
      <c r="A12" s="2" t="s">
        <v>65</v>
      </c>
      <c r="B12" s="2" t="s">
        <v>60</v>
      </c>
      <c r="C12" s="2" t="s">
        <v>66</v>
      </c>
      <c r="D12" s="2" t="s">
        <v>67</v>
      </c>
      <c r="E12" s="2" t="s">
        <v>68</v>
      </c>
      <c r="F12" s="2" t="s">
        <v>69</v>
      </c>
      <c r="G12" s="2" t="s">
        <v>14</v>
      </c>
      <c r="H12" s="2" t="s">
        <v>15</v>
      </c>
    </row>
    <row r="13" spans="1:8" ht="42" customHeight="1">
      <c r="A13" s="2" t="s">
        <v>70</v>
      </c>
      <c r="B13" s="2" t="s">
        <v>60</v>
      </c>
      <c r="C13" s="2" t="s">
        <v>71</v>
      </c>
      <c r="D13" s="2" t="s">
        <v>72</v>
      </c>
      <c r="E13" s="2" t="s">
        <v>73</v>
      </c>
      <c r="F13" s="2" t="s">
        <v>74</v>
      </c>
      <c r="G13" s="2" t="s">
        <v>37</v>
      </c>
      <c r="H13" s="2" t="s">
        <v>15</v>
      </c>
    </row>
    <row r="14" spans="1:8" ht="42" customHeight="1">
      <c r="A14" s="2" t="s">
        <v>75</v>
      </c>
      <c r="B14" s="2" t="s">
        <v>60</v>
      </c>
      <c r="C14" s="2" t="s">
        <v>76</v>
      </c>
      <c r="D14" s="2" t="s">
        <v>77</v>
      </c>
      <c r="E14" s="2" t="s">
        <v>78</v>
      </c>
      <c r="F14" s="2" t="s">
        <v>79</v>
      </c>
      <c r="G14" s="2" t="s">
        <v>14</v>
      </c>
      <c r="H14" s="2" t="s">
        <v>15</v>
      </c>
    </row>
    <row r="15" spans="1:8" ht="42" customHeight="1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85</v>
      </c>
      <c r="G15" s="2" t="s">
        <v>14</v>
      </c>
      <c r="H15" s="2" t="s">
        <v>15</v>
      </c>
    </row>
    <row r="16" spans="1:8" ht="42" customHeight="1">
      <c r="A16" s="2" t="s">
        <v>86</v>
      </c>
      <c r="B16" s="2" t="s">
        <v>81</v>
      </c>
      <c r="C16" s="2" t="s">
        <v>87</v>
      </c>
      <c r="D16" s="2" t="s">
        <v>88</v>
      </c>
      <c r="E16" s="2" t="s">
        <v>89</v>
      </c>
      <c r="F16" s="2" t="s">
        <v>90</v>
      </c>
      <c r="G16" s="2" t="s">
        <v>14</v>
      </c>
      <c r="H16" s="2" t="s">
        <v>15</v>
      </c>
    </row>
    <row r="17" spans="1:8" ht="42" customHeight="1">
      <c r="A17" s="2" t="s">
        <v>91</v>
      </c>
      <c r="B17" s="2" t="s">
        <v>81</v>
      </c>
      <c r="C17" s="2" t="s">
        <v>92</v>
      </c>
      <c r="D17" s="2" t="s">
        <v>93</v>
      </c>
      <c r="E17" s="2" t="s">
        <v>94</v>
      </c>
      <c r="F17" s="2" t="s">
        <v>95</v>
      </c>
      <c r="G17" s="2" t="s">
        <v>37</v>
      </c>
      <c r="H17" s="2" t="s">
        <v>15</v>
      </c>
    </row>
    <row r="18" spans="1:8" ht="42" customHeight="1">
      <c r="A18" s="2" t="s">
        <v>96</v>
      </c>
      <c r="B18" s="2" t="s">
        <v>97</v>
      </c>
      <c r="C18" s="2" t="s">
        <v>98</v>
      </c>
      <c r="D18" s="2" t="s">
        <v>99</v>
      </c>
      <c r="E18" s="2" t="s">
        <v>100</v>
      </c>
      <c r="F18" s="2" t="s">
        <v>101</v>
      </c>
      <c r="G18" s="2" t="s">
        <v>14</v>
      </c>
      <c r="H18" s="2" t="s">
        <v>15</v>
      </c>
    </row>
    <row r="19" spans="1:8" ht="42" customHeight="1">
      <c r="A19" s="2" t="s">
        <v>102</v>
      </c>
      <c r="B19" s="2" t="s">
        <v>97</v>
      </c>
      <c r="C19" s="2" t="s">
        <v>103</v>
      </c>
      <c r="D19" s="2" t="s">
        <v>41</v>
      </c>
      <c r="E19" s="2" t="s">
        <v>104</v>
      </c>
      <c r="F19" s="2" t="s">
        <v>105</v>
      </c>
      <c r="G19" s="2" t="s">
        <v>14</v>
      </c>
      <c r="H19" s="2" t="s">
        <v>15</v>
      </c>
    </row>
    <row r="20" spans="1:8" ht="42" customHeight="1">
      <c r="A20" s="2" t="s">
        <v>106</v>
      </c>
      <c r="B20" s="2" t="s">
        <v>97</v>
      </c>
      <c r="C20" s="2" t="s">
        <v>107</v>
      </c>
      <c r="D20" s="2" t="s">
        <v>62</v>
      </c>
      <c r="E20" s="2" t="s">
        <v>108</v>
      </c>
      <c r="F20" s="2" t="s">
        <v>109</v>
      </c>
      <c r="G20" s="2" t="s">
        <v>14</v>
      </c>
      <c r="H20" s="2" t="s">
        <v>15</v>
      </c>
    </row>
    <row r="21" spans="1:8" ht="42" customHeight="1">
      <c r="A21" s="2" t="s">
        <v>110</v>
      </c>
      <c r="B21" s="2" t="s">
        <v>97</v>
      </c>
      <c r="C21" s="2" t="s">
        <v>111</v>
      </c>
      <c r="D21" s="2" t="s">
        <v>112</v>
      </c>
      <c r="E21" s="2" t="s">
        <v>113</v>
      </c>
      <c r="F21" s="2" t="s">
        <v>114</v>
      </c>
      <c r="G21" s="2" t="s">
        <v>14</v>
      </c>
      <c r="H21" s="2" t="s">
        <v>15</v>
      </c>
    </row>
    <row r="22" spans="1:8" ht="42" customHeight="1">
      <c r="A22" s="2" t="s">
        <v>115</v>
      </c>
      <c r="B22" s="2" t="s">
        <v>97</v>
      </c>
      <c r="C22" s="2" t="s">
        <v>116</v>
      </c>
      <c r="D22" s="2" t="s">
        <v>117</v>
      </c>
      <c r="E22" s="2" t="s">
        <v>118</v>
      </c>
      <c r="F22" s="2" t="s">
        <v>119</v>
      </c>
      <c r="G22" s="2" t="s">
        <v>37</v>
      </c>
      <c r="H22" s="2" t="s">
        <v>15</v>
      </c>
    </row>
    <row r="23" spans="1:8" ht="42" customHeight="1">
      <c r="A23" s="2" t="s">
        <v>120</v>
      </c>
      <c r="B23" s="2" t="s">
        <v>121</v>
      </c>
      <c r="C23" s="2" t="s">
        <v>122</v>
      </c>
      <c r="D23" s="2" t="s">
        <v>123</v>
      </c>
      <c r="E23" s="2" t="s">
        <v>124</v>
      </c>
      <c r="F23" s="2" t="s">
        <v>125</v>
      </c>
      <c r="G23" s="2" t="s">
        <v>14</v>
      </c>
      <c r="H23" s="2" t="s">
        <v>15</v>
      </c>
    </row>
    <row r="24" spans="1:8" ht="42" customHeight="1">
      <c r="A24" s="2" t="s">
        <v>126</v>
      </c>
      <c r="B24" s="2" t="s">
        <v>121</v>
      </c>
      <c r="C24" s="2" t="s">
        <v>127</v>
      </c>
      <c r="D24" s="2" t="s">
        <v>128</v>
      </c>
      <c r="E24" s="2" t="s">
        <v>129</v>
      </c>
      <c r="F24" s="2" t="s">
        <v>130</v>
      </c>
      <c r="G24" s="2" t="s">
        <v>14</v>
      </c>
      <c r="H24" s="2" t="s">
        <v>15</v>
      </c>
    </row>
    <row r="25" spans="1:8" ht="42" customHeight="1">
      <c r="A25" s="2" t="s">
        <v>207</v>
      </c>
      <c r="B25" s="2" t="s">
        <v>121</v>
      </c>
      <c r="C25" s="2" t="s">
        <v>131</v>
      </c>
      <c r="D25" s="2" t="s">
        <v>132</v>
      </c>
      <c r="E25" s="2" t="s">
        <v>133</v>
      </c>
      <c r="F25" s="2" t="s">
        <v>134</v>
      </c>
      <c r="G25" s="2" t="s">
        <v>14</v>
      </c>
      <c r="H25" s="2" t="s">
        <v>15</v>
      </c>
    </row>
    <row r="26" spans="1:8" ht="42" customHeight="1">
      <c r="A26" s="2" t="s">
        <v>135</v>
      </c>
      <c r="B26" s="2" t="s">
        <v>121</v>
      </c>
      <c r="C26" s="2" t="s">
        <v>136</v>
      </c>
      <c r="D26" s="2" t="s">
        <v>137</v>
      </c>
      <c r="E26" s="2" t="s">
        <v>138</v>
      </c>
      <c r="F26" s="2" t="s">
        <v>139</v>
      </c>
      <c r="G26" s="2" t="s">
        <v>37</v>
      </c>
      <c r="H26" s="2" t="s">
        <v>15</v>
      </c>
    </row>
    <row r="27" spans="1:8" ht="42" customHeight="1">
      <c r="A27" s="2" t="s">
        <v>140</v>
      </c>
      <c r="B27" s="2" t="s">
        <v>121</v>
      </c>
      <c r="C27" s="2" t="s">
        <v>141</v>
      </c>
      <c r="D27" s="2" t="s">
        <v>142</v>
      </c>
      <c r="E27" s="2" t="s">
        <v>143</v>
      </c>
      <c r="F27" s="2" t="s">
        <v>144</v>
      </c>
      <c r="G27" s="2" t="s">
        <v>14</v>
      </c>
      <c r="H27" s="2" t="s">
        <v>15</v>
      </c>
    </row>
    <row r="29" spans="1:8" ht="34" customHeight="1">
      <c r="A29" s="3" t="s">
        <v>145</v>
      </c>
      <c r="B29" s="8" t="s">
        <v>146</v>
      </c>
      <c r="C29" s="9"/>
      <c r="D29" s="9"/>
      <c r="E29" s="9"/>
      <c r="F29" s="9"/>
      <c r="G29" s="9"/>
      <c r="H29" s="9"/>
    </row>
  </sheetData>
  <autoFilter ref="A1:H27" xr:uid="{00000000-0009-0000-0000-000000000000}"/>
  <mergeCells count="1">
    <mergeCell ref="B29:H29"/>
  </mergeCells>
  <phoneticPr fontId="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26"/>
  <sheetViews>
    <sheetView showGridLines="0" topLeftCell="B1" zoomScale="70" zoomScaleNormal="70" workbookViewId="0">
      <pane ySplit="1" topLeftCell="A17" activePane="bottomLeft" state="frozen"/>
      <selection pane="bottomLeft" activeCell="B2" sqref="B2"/>
    </sheetView>
  </sheetViews>
  <sheetFormatPr defaultRowHeight="14"/>
  <cols>
    <col min="1" max="1" width="12" customWidth="1"/>
    <col min="2" max="2" width="30" customWidth="1"/>
    <col min="3" max="3" width="42" customWidth="1"/>
    <col min="4" max="5" width="28" customWidth="1"/>
    <col min="6" max="6" width="12" customWidth="1"/>
    <col min="7" max="7" width="30" customWidth="1"/>
    <col min="8" max="9" width="14" customWidth="1"/>
    <col min="10" max="10" width="24" customWidth="1"/>
  </cols>
  <sheetData>
    <row r="1" spans="1:10" ht="116" customHeight="1">
      <c r="A1" s="1" t="s">
        <v>0</v>
      </c>
      <c r="B1" s="1" t="s">
        <v>2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7</v>
      </c>
      <c r="I1" s="1" t="s">
        <v>152</v>
      </c>
      <c r="J1" s="1" t="s">
        <v>153</v>
      </c>
    </row>
    <row r="2" spans="1:10" ht="42" customHeight="1">
      <c r="A2" s="2" t="s">
        <v>8</v>
      </c>
      <c r="B2" s="2" t="s">
        <v>10</v>
      </c>
      <c r="C2" s="5" t="s">
        <v>210</v>
      </c>
      <c r="D2" s="2" t="s">
        <v>167</v>
      </c>
      <c r="E2" s="2" t="s">
        <v>214</v>
      </c>
      <c r="F2" s="2" t="s">
        <v>166</v>
      </c>
      <c r="G2" s="2" t="s">
        <v>214</v>
      </c>
      <c r="H2" s="2" t="s">
        <v>165</v>
      </c>
      <c r="I2" s="2"/>
      <c r="J2" s="2" t="s">
        <v>215</v>
      </c>
    </row>
    <row r="3" spans="1:10" ht="42" customHeight="1">
      <c r="A3" s="2" t="s">
        <v>16</v>
      </c>
      <c r="B3" s="2" t="s">
        <v>17</v>
      </c>
      <c r="C3" s="5" t="s">
        <v>210</v>
      </c>
      <c r="D3" s="2" t="s">
        <v>167</v>
      </c>
      <c r="E3" s="2" t="s">
        <v>214</v>
      </c>
      <c r="F3" s="2" t="s">
        <v>166</v>
      </c>
      <c r="G3" s="2" t="s">
        <v>214</v>
      </c>
      <c r="H3" s="2" t="s">
        <v>165</v>
      </c>
      <c r="I3" s="2"/>
      <c r="J3" s="2" t="s">
        <v>215</v>
      </c>
    </row>
    <row r="4" spans="1:10" ht="42.5" customHeight="1">
      <c r="A4" s="2" t="s">
        <v>20</v>
      </c>
      <c r="B4" s="2" t="s">
        <v>22</v>
      </c>
      <c r="C4" s="5" t="s">
        <v>211</v>
      </c>
      <c r="D4" s="2" t="s">
        <v>167</v>
      </c>
      <c r="E4" s="2" t="s">
        <v>214</v>
      </c>
      <c r="F4" s="2" t="s">
        <v>166</v>
      </c>
      <c r="G4" s="2" t="s">
        <v>214</v>
      </c>
      <c r="H4" s="2" t="s">
        <v>165</v>
      </c>
      <c r="I4" s="2"/>
      <c r="J4" s="2" t="s">
        <v>215</v>
      </c>
    </row>
    <row r="5" spans="1:10" ht="42.5" customHeight="1">
      <c r="A5" s="2" t="s">
        <v>26</v>
      </c>
      <c r="B5" s="2" t="s">
        <v>28</v>
      </c>
      <c r="C5" s="5" t="s">
        <v>212</v>
      </c>
      <c r="D5" s="2" t="s">
        <v>167</v>
      </c>
      <c r="E5" s="2" t="s">
        <v>214</v>
      </c>
      <c r="F5" s="2" t="s">
        <v>166</v>
      </c>
      <c r="G5" s="2" t="s">
        <v>214</v>
      </c>
      <c r="H5" s="2" t="s">
        <v>165</v>
      </c>
      <c r="I5" s="2"/>
      <c r="J5" s="2" t="s">
        <v>215</v>
      </c>
    </row>
    <row r="6" spans="1:10" ht="42" customHeight="1">
      <c r="A6" s="2" t="s">
        <v>32</v>
      </c>
      <c r="B6" s="2" t="s">
        <v>33</v>
      </c>
      <c r="C6" s="2" t="s">
        <v>213</v>
      </c>
      <c r="D6" s="2" t="s">
        <v>167</v>
      </c>
      <c r="E6" s="2" t="s">
        <v>214</v>
      </c>
      <c r="F6" s="2" t="s">
        <v>166</v>
      </c>
      <c r="G6" s="2" t="s">
        <v>214</v>
      </c>
      <c r="H6" s="2" t="s">
        <v>165</v>
      </c>
      <c r="I6" s="2"/>
      <c r="J6" s="2" t="s">
        <v>215</v>
      </c>
    </row>
    <row r="7" spans="1:10" ht="42" customHeight="1">
      <c r="A7" s="2" t="s">
        <v>38</v>
      </c>
      <c r="B7" s="2" t="s">
        <v>40</v>
      </c>
      <c r="C7" s="5" t="s">
        <v>216</v>
      </c>
      <c r="D7" s="2" t="s">
        <v>217</v>
      </c>
      <c r="E7" s="2" t="s">
        <v>218</v>
      </c>
      <c r="F7" s="2" t="s">
        <v>166</v>
      </c>
      <c r="G7" s="2" t="s">
        <v>214</v>
      </c>
      <c r="H7" s="2" t="s">
        <v>165</v>
      </c>
      <c r="I7" s="2"/>
      <c r="J7" s="2" t="s">
        <v>232</v>
      </c>
    </row>
    <row r="8" spans="1:10" ht="42" customHeight="1">
      <c r="A8" s="2" t="s">
        <v>44</v>
      </c>
      <c r="B8" s="2" t="s">
        <v>45</v>
      </c>
      <c r="C8" s="2" t="s">
        <v>219</v>
      </c>
      <c r="D8" s="2" t="s">
        <v>217</v>
      </c>
      <c r="E8" s="2" t="s">
        <v>183</v>
      </c>
      <c r="F8" s="2" t="s">
        <v>166</v>
      </c>
      <c r="G8" s="2" t="s">
        <v>214</v>
      </c>
      <c r="H8" s="2" t="s">
        <v>165</v>
      </c>
      <c r="I8" s="2"/>
      <c r="J8" s="2" t="s">
        <v>232</v>
      </c>
    </row>
    <row r="9" spans="1:10" ht="42" customHeight="1">
      <c r="A9" s="2" t="s">
        <v>49</v>
      </c>
      <c r="B9" s="2" t="s">
        <v>50</v>
      </c>
      <c r="C9" s="2" t="s">
        <v>220</v>
      </c>
      <c r="D9" s="2" t="s">
        <v>221</v>
      </c>
      <c r="E9" s="2" t="s">
        <v>222</v>
      </c>
      <c r="F9" s="2" t="s">
        <v>166</v>
      </c>
      <c r="G9" s="2" t="s">
        <v>214</v>
      </c>
      <c r="H9" s="2" t="s">
        <v>165</v>
      </c>
      <c r="I9" s="2"/>
      <c r="J9" s="2" t="s">
        <v>232</v>
      </c>
    </row>
    <row r="10" spans="1:10" ht="42" customHeight="1">
      <c r="A10" s="2" t="s">
        <v>54</v>
      </c>
      <c r="B10" s="2" t="s">
        <v>55</v>
      </c>
      <c r="C10" s="2" t="s">
        <v>168</v>
      </c>
      <c r="D10" s="2" t="s">
        <v>169</v>
      </c>
      <c r="E10" s="2" t="s">
        <v>170</v>
      </c>
      <c r="F10" s="2" t="s">
        <v>166</v>
      </c>
      <c r="G10" s="2" t="s">
        <v>214</v>
      </c>
      <c r="H10" s="2" t="s">
        <v>165</v>
      </c>
      <c r="I10" s="2"/>
      <c r="J10" s="2"/>
    </row>
    <row r="11" spans="1:10" ht="42" customHeight="1">
      <c r="A11" s="2" t="s">
        <v>59</v>
      </c>
      <c r="B11" s="2" t="s">
        <v>61</v>
      </c>
      <c r="C11" s="2" t="s">
        <v>171</v>
      </c>
      <c r="D11" s="2" t="s">
        <v>172</v>
      </c>
      <c r="E11" s="2" t="s">
        <v>173</v>
      </c>
      <c r="F11" s="2" t="s">
        <v>166</v>
      </c>
      <c r="G11" s="2" t="s">
        <v>214</v>
      </c>
      <c r="H11" s="2" t="s">
        <v>165</v>
      </c>
      <c r="I11" s="2"/>
      <c r="J11" s="2"/>
    </row>
    <row r="12" spans="1:10" ht="42" customHeight="1">
      <c r="A12" s="2" t="s">
        <v>65</v>
      </c>
      <c r="B12" s="2" t="s">
        <v>66</v>
      </c>
      <c r="C12" s="2" t="s">
        <v>174</v>
      </c>
      <c r="D12" s="2" t="s">
        <v>169</v>
      </c>
      <c r="E12" s="2" t="s">
        <v>176</v>
      </c>
      <c r="F12" s="2" t="s">
        <v>166</v>
      </c>
      <c r="G12" s="2" t="s">
        <v>214</v>
      </c>
      <c r="H12" s="2" t="s">
        <v>165</v>
      </c>
      <c r="I12" s="2"/>
      <c r="J12" s="2"/>
    </row>
    <row r="13" spans="1:10" ht="42" customHeight="1">
      <c r="A13" s="2" t="s">
        <v>70</v>
      </c>
      <c r="B13" s="2" t="s">
        <v>71</v>
      </c>
      <c r="C13" s="2" t="s">
        <v>178</v>
      </c>
      <c r="D13" s="2" t="s">
        <v>177</v>
      </c>
      <c r="E13" s="2" t="s">
        <v>183</v>
      </c>
      <c r="F13" s="2" t="s">
        <v>166</v>
      </c>
      <c r="G13" s="2" t="s">
        <v>214</v>
      </c>
      <c r="H13" s="2" t="s">
        <v>165</v>
      </c>
      <c r="I13" s="2"/>
      <c r="J13" s="2"/>
    </row>
    <row r="14" spans="1:10" ht="42" customHeight="1">
      <c r="A14" s="2" t="s">
        <v>75</v>
      </c>
      <c r="B14" s="2" t="s">
        <v>76</v>
      </c>
      <c r="C14" s="2" t="s">
        <v>233</v>
      </c>
      <c r="D14" s="2" t="s">
        <v>172</v>
      </c>
      <c r="E14" s="2" t="s">
        <v>184</v>
      </c>
      <c r="F14" s="2" t="s">
        <v>166</v>
      </c>
      <c r="G14" s="2" t="s">
        <v>214</v>
      </c>
      <c r="H14" s="2" t="s">
        <v>165</v>
      </c>
      <c r="I14" s="2"/>
      <c r="J14" s="2"/>
    </row>
    <row r="15" spans="1:10" ht="42" customHeight="1">
      <c r="A15" s="2" t="s">
        <v>80</v>
      </c>
      <c r="B15" s="2" t="s">
        <v>179</v>
      </c>
      <c r="C15" s="2" t="s">
        <v>180</v>
      </c>
      <c r="D15" s="2" t="s">
        <v>172</v>
      </c>
      <c r="E15" s="2" t="s">
        <v>185</v>
      </c>
      <c r="F15" s="2" t="s">
        <v>166</v>
      </c>
      <c r="G15" s="2" t="s">
        <v>214</v>
      </c>
      <c r="H15" s="2" t="s">
        <v>165</v>
      </c>
      <c r="I15" s="2"/>
      <c r="J15" s="2"/>
    </row>
    <row r="16" spans="1:10" ht="42" customHeight="1">
      <c r="A16" s="2" t="s">
        <v>86</v>
      </c>
      <c r="B16" s="2" t="s">
        <v>87</v>
      </c>
      <c r="C16" s="2" t="s">
        <v>182</v>
      </c>
      <c r="D16" s="2" t="s">
        <v>181</v>
      </c>
      <c r="E16" s="2" t="s">
        <v>175</v>
      </c>
      <c r="F16" s="2" t="s">
        <v>223</v>
      </c>
      <c r="G16" s="2" t="s">
        <v>230</v>
      </c>
      <c r="H16" s="2" t="s">
        <v>165</v>
      </c>
      <c r="I16" s="2"/>
      <c r="J16" s="2" t="s">
        <v>231</v>
      </c>
    </row>
    <row r="17" spans="1:10" ht="42" customHeight="1">
      <c r="A17" s="2" t="s">
        <v>91</v>
      </c>
      <c r="B17" s="2" t="s">
        <v>186</v>
      </c>
      <c r="C17" s="2" t="s">
        <v>187</v>
      </c>
      <c r="D17" s="2" t="s">
        <v>188</v>
      </c>
      <c r="E17" s="2" t="s">
        <v>189</v>
      </c>
      <c r="F17" s="2" t="s">
        <v>166</v>
      </c>
      <c r="G17" s="2"/>
      <c r="H17" s="2" t="s">
        <v>165</v>
      </c>
      <c r="I17" s="2"/>
      <c r="J17" s="2" t="s">
        <v>190</v>
      </c>
    </row>
    <row r="18" spans="1:10" ht="42" customHeight="1">
      <c r="A18" s="2" t="s">
        <v>96</v>
      </c>
      <c r="B18" s="2" t="s">
        <v>98</v>
      </c>
      <c r="C18" s="2" t="s">
        <v>192</v>
      </c>
      <c r="D18" s="2" t="s">
        <v>191</v>
      </c>
      <c r="E18" s="2" t="s">
        <v>170</v>
      </c>
      <c r="F18" s="2" t="s">
        <v>166</v>
      </c>
      <c r="G18" s="2" t="s">
        <v>214</v>
      </c>
      <c r="H18" s="2" t="s">
        <v>165</v>
      </c>
      <c r="I18" s="2"/>
      <c r="J18" s="2"/>
    </row>
    <row r="19" spans="1:10" ht="42" customHeight="1">
      <c r="A19" s="2" t="s">
        <v>102</v>
      </c>
      <c r="B19" s="2" t="s">
        <v>103</v>
      </c>
      <c r="C19" s="2" t="s">
        <v>193</v>
      </c>
      <c r="D19" s="2" t="s">
        <v>194</v>
      </c>
      <c r="E19" s="2" t="s">
        <v>195</v>
      </c>
      <c r="F19" s="2" t="s">
        <v>166</v>
      </c>
      <c r="G19" s="2" t="s">
        <v>214</v>
      </c>
      <c r="H19" s="2" t="s">
        <v>165</v>
      </c>
      <c r="I19" s="2"/>
      <c r="J19" s="2"/>
    </row>
    <row r="20" spans="1:10" ht="42" customHeight="1">
      <c r="A20" s="2" t="s">
        <v>106</v>
      </c>
      <c r="B20" s="2" t="s">
        <v>196</v>
      </c>
      <c r="C20" s="2" t="s">
        <v>197</v>
      </c>
      <c r="D20" s="2" t="s">
        <v>181</v>
      </c>
      <c r="E20" s="2" t="s">
        <v>170</v>
      </c>
      <c r="F20" s="2" t="s">
        <v>223</v>
      </c>
      <c r="G20" s="2" t="s">
        <v>198</v>
      </c>
      <c r="H20" s="2" t="s">
        <v>165</v>
      </c>
      <c r="I20" s="2"/>
      <c r="J20" s="2" t="s">
        <v>199</v>
      </c>
    </row>
    <row r="21" spans="1:10" ht="42" customHeight="1">
      <c r="A21" s="2" t="s">
        <v>110</v>
      </c>
      <c r="B21" s="2" t="s">
        <v>111</v>
      </c>
      <c r="C21" s="2" t="s">
        <v>200</v>
      </c>
      <c r="D21" s="2" t="s">
        <v>169</v>
      </c>
      <c r="E21" s="2" t="s">
        <v>170</v>
      </c>
      <c r="F21" s="2" t="s">
        <v>223</v>
      </c>
      <c r="G21" s="2" t="s">
        <v>201</v>
      </c>
      <c r="H21" s="2" t="s">
        <v>165</v>
      </c>
      <c r="I21" s="2"/>
      <c r="J21" s="2" t="s">
        <v>202</v>
      </c>
    </row>
    <row r="22" spans="1:10" ht="42" customHeight="1">
      <c r="A22" s="2" t="s">
        <v>115</v>
      </c>
      <c r="B22" s="2" t="s">
        <v>116</v>
      </c>
      <c r="C22" s="2" t="s">
        <v>203</v>
      </c>
      <c r="D22" s="2" t="s">
        <v>204</v>
      </c>
      <c r="E22" s="2" t="s">
        <v>205</v>
      </c>
      <c r="F22" s="2" t="s">
        <v>166</v>
      </c>
      <c r="G22" s="2" t="s">
        <v>214</v>
      </c>
      <c r="H22" s="2" t="s">
        <v>165</v>
      </c>
      <c r="I22" s="2"/>
      <c r="J22" s="2"/>
    </row>
    <row r="23" spans="1:10" ht="42" hidden="1" customHeight="1">
      <c r="A23" s="2" t="s">
        <v>120</v>
      </c>
      <c r="B23" s="2" t="s">
        <v>122</v>
      </c>
      <c r="C23" s="2" t="s">
        <v>206</v>
      </c>
      <c r="D23" s="2" t="s">
        <v>167</v>
      </c>
      <c r="E23" s="2"/>
      <c r="F23" s="2" t="s">
        <v>166</v>
      </c>
      <c r="G23" s="2" t="s">
        <v>214</v>
      </c>
      <c r="H23" s="2" t="s">
        <v>165</v>
      </c>
      <c r="I23" s="2"/>
      <c r="J23" s="2"/>
    </row>
    <row r="24" spans="1:10" ht="42" customHeight="1">
      <c r="A24" s="2" t="s">
        <v>126</v>
      </c>
      <c r="B24" s="2" t="s">
        <v>127</v>
      </c>
      <c r="C24" s="2" t="s">
        <v>209</v>
      </c>
      <c r="D24" s="2" t="s">
        <v>191</v>
      </c>
      <c r="E24" s="2"/>
      <c r="F24" s="2" t="s">
        <v>166</v>
      </c>
      <c r="G24" s="2" t="s">
        <v>214</v>
      </c>
      <c r="H24" s="2" t="s">
        <v>165</v>
      </c>
      <c r="I24" s="2"/>
      <c r="J24" s="2"/>
    </row>
    <row r="25" spans="1:10" ht="42" hidden="1" customHeight="1">
      <c r="A25" s="2" t="s">
        <v>207</v>
      </c>
      <c r="B25" s="2" t="s">
        <v>136</v>
      </c>
      <c r="C25" s="2" t="s">
        <v>236</v>
      </c>
      <c r="D25" s="2" t="s">
        <v>167</v>
      </c>
      <c r="E25" s="2" t="s">
        <v>214</v>
      </c>
      <c r="F25" s="2" t="s">
        <v>234</v>
      </c>
      <c r="G25" s="2" t="s">
        <v>214</v>
      </c>
      <c r="H25" s="2" t="s">
        <v>165</v>
      </c>
      <c r="I25" s="2"/>
      <c r="J25" s="2" t="s">
        <v>235</v>
      </c>
    </row>
    <row r="26" spans="1:10" ht="42" customHeight="1">
      <c r="A26" s="2" t="s">
        <v>208</v>
      </c>
      <c r="B26" s="2" t="s">
        <v>141</v>
      </c>
      <c r="C26" s="2" t="s">
        <v>225</v>
      </c>
      <c r="D26" s="2" t="s">
        <v>226</v>
      </c>
      <c r="E26" s="2" t="s">
        <v>227</v>
      </c>
      <c r="F26" s="2" t="s">
        <v>166</v>
      </c>
      <c r="G26" s="2" t="s">
        <v>214</v>
      </c>
      <c r="H26" s="2" t="s">
        <v>165</v>
      </c>
      <c r="I26" s="2"/>
      <c r="J26" s="2" t="s">
        <v>237</v>
      </c>
    </row>
  </sheetData>
  <autoFilter ref="A1:J26" xr:uid="{00000000-0009-0000-0000-000001000000}">
    <filterColumn colId="3">
      <filters>
        <filter val="calculate_column_statistics"/>
        <filter val="get_data_summary"/>
        <filter val="get_data_summary,calculate_column_statistics"/>
        <filter val="get_data_summary，calculate_column_statistics"/>
        <filter val="get_data_summary,calculate_column_statistics,calculate_column_statistics,summarize_by_group,summarize_by_group"/>
        <filter val="get_data_summary,calculate_column_statistics,summarize_by_group"/>
        <filter val="get_data_summary,rank_by_category"/>
        <filter val="get_data_summary,summarize_by_group"/>
        <filter val="get_data_summary,summarize_by_group_x000a__x000a_"/>
        <filter val="get_data_summary,summarize_by_group,rank_by_category"/>
        <filter val="summarize_by_group"/>
      </filters>
    </filterColumn>
  </autoFilter>
  <phoneticPr fontId="5" type="noConversion"/>
  <conditionalFormatting sqref="F2:F26">
    <cfRule type="cellIs" dxfId="1" priority="1" operator="equal">
      <formula>"通过"</formula>
    </cfRule>
    <cfRule type="cellIs" dxfId="0" priority="2" operator="equal">
      <formula>"失败"</formula>
    </cfRule>
  </conditionalFormatting>
  <dataValidations count="2">
    <dataValidation type="list" sqref="H2:H26" xr:uid="{00000000-0002-0000-0100-000001000000}">
      <formula1>"待测试,测试中,已完成"</formula1>
    </dataValidation>
    <dataValidation type="list" allowBlank="1" sqref="F2:F26" xr:uid="{237C8F80-7E8B-458E-86F1-FAEF6E73B613}">
      <formula1>"通过,未通过,部分通过,不适用"</formula1>
    </dataValidation>
  </dataValidation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showGridLines="0" workbookViewId="0">
      <pane ySplit="1" topLeftCell="A2" activePane="bottomLeft" state="frozen"/>
      <selection pane="bottomLeft" activeCell="A13" sqref="A13"/>
    </sheetView>
  </sheetViews>
  <sheetFormatPr defaultRowHeight="14"/>
  <cols>
    <col min="1" max="1" width="24" customWidth="1"/>
    <col min="2" max="2" width="90" customWidth="1"/>
  </cols>
  <sheetData>
    <row r="1" spans="1:2" ht="30" customHeight="1">
      <c r="A1" s="4" t="s">
        <v>154</v>
      </c>
      <c r="B1" s="4" t="s">
        <v>155</v>
      </c>
    </row>
    <row r="2" spans="1:2" ht="34" customHeight="1">
      <c r="A2" s="2" t="s">
        <v>154</v>
      </c>
      <c r="B2" s="2" t="s">
        <v>155</v>
      </c>
    </row>
    <row r="3" spans="1:2" ht="34" customHeight="1">
      <c r="A3" s="2" t="s">
        <v>156</v>
      </c>
      <c r="B3" s="5">
        <f>COUNTA(测试用例!A2:A26)</f>
        <v>25</v>
      </c>
    </row>
    <row r="4" spans="1:2" ht="34" customHeight="1">
      <c r="A4" s="2" t="s">
        <v>157</v>
      </c>
      <c r="B4" s="5">
        <f>COUNTIF(测试执行记录!H2:H26,"已完成")</f>
        <v>25</v>
      </c>
    </row>
    <row r="5" spans="1:2" ht="34" customHeight="1">
      <c r="A5" s="2" t="s">
        <v>158</v>
      </c>
      <c r="B5" s="5">
        <f>COUNTIF(测试执行记录!F2:F26,"通过")</f>
        <v>21</v>
      </c>
    </row>
    <row r="6" spans="1:2" ht="34" customHeight="1">
      <c r="A6" s="2" t="s">
        <v>224</v>
      </c>
      <c r="B6" s="5">
        <f>COUNTIF(测试执行记录!F2:F26,"未通过")</f>
        <v>3</v>
      </c>
    </row>
    <row r="7" spans="1:2" ht="34" customHeight="1">
      <c r="A7" s="2" t="s">
        <v>159</v>
      </c>
      <c r="B7" s="6">
        <f>COUNTIF(测试执行记录!H2:H26,"待测试")</f>
        <v>0</v>
      </c>
    </row>
    <row r="8" spans="1:2" ht="34" customHeight="1">
      <c r="A8" s="2" t="s">
        <v>160</v>
      </c>
      <c r="B8" s="7">
        <f>IFERROR(B5/B4,0)</f>
        <v>0.84</v>
      </c>
    </row>
    <row r="9" spans="1:2" ht="34" customHeight="1">
      <c r="A9" s="2" t="s">
        <v>161</v>
      </c>
      <c r="B9" s="2" t="s">
        <v>238</v>
      </c>
    </row>
    <row r="10" spans="1:2" ht="34" customHeight="1">
      <c r="A10" s="2" t="s">
        <v>162</v>
      </c>
      <c r="B10" s="2" t="s">
        <v>239</v>
      </c>
    </row>
    <row r="11" spans="1:2" ht="34" customHeight="1">
      <c r="A11" s="2" t="s">
        <v>163</v>
      </c>
      <c r="B11" s="2" t="s">
        <v>240</v>
      </c>
    </row>
    <row r="12" spans="1:2" ht="126" customHeight="1">
      <c r="A12" s="2" t="s">
        <v>164</v>
      </c>
      <c r="B12" s="2" t="s">
        <v>242</v>
      </c>
    </row>
    <row r="13" spans="1:2" ht="251.5" customHeight="1">
      <c r="A13" s="2" t="s">
        <v>145</v>
      </c>
      <c r="B13" s="2" t="s">
        <v>241</v>
      </c>
    </row>
  </sheetData>
  <autoFilter ref="A1:B13" xr:uid="{00000000-0009-0000-0000-000002000000}"/>
  <phoneticPr fontId="5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测试用例</vt:lpstr>
      <vt:lpstr>测试执行记录</vt:lpstr>
      <vt:lpstr>测试结果汇总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海洋 朱</cp:lastModifiedBy>
  <dcterms:created xsi:type="dcterms:W3CDTF">2026-10-18T09:26:04Z</dcterms:created>
  <dcterms:modified xsi:type="dcterms:W3CDTF">2026-10-22T04:09:11Z</dcterms:modified>
</cp:coreProperties>
</file>